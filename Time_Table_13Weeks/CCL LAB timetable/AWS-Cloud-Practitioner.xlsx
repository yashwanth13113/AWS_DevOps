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academy-cms/LS/MLCV-2020-451/"/>
    </mc:Choice>
  </mc:AlternateContent>
  <xr:revisionPtr revIDLastSave="219" documentId="14_{BAE9AB03-6802-413F-8318-460E4DC4A859}" xr6:coauthVersionLast="47" xr6:coauthVersionMax="47" xr10:uidLastSave="{828D6EF3-D25A-48E4-9774-954E14380105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Sheet1!$D$1:$D$20</definedName>
    <definedName name="_xlnm._FilterDatabase" localSheetId="1" hidden="1">Sheet2!#REF!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E14" i="2"/>
  <c r="F14" i="2"/>
  <c r="J7" i="2"/>
  <c r="I7" i="2"/>
  <c r="H7" i="2"/>
  <c r="J6" i="2"/>
  <c r="J8" i="2"/>
  <c r="J9" i="2"/>
  <c r="J10" i="2"/>
  <c r="H5" i="2"/>
  <c r="J5" i="2"/>
  <c r="I6" i="2"/>
  <c r="I8" i="2"/>
  <c r="I9" i="2"/>
  <c r="I10" i="2"/>
  <c r="I5" i="2"/>
  <c r="H6" i="2"/>
  <c r="H8" i="2"/>
  <c r="H9" i="2"/>
  <c r="H10" i="2"/>
  <c r="D2" i="1"/>
  <c r="D3" i="1" s="1"/>
</calcChain>
</file>

<file path=xl/sharedStrings.xml><?xml version="1.0" encoding="utf-8"?>
<sst xmlns="http://schemas.openxmlformats.org/spreadsheetml/2006/main" count="132" uniqueCount="106">
  <si>
    <t>AWS Certified Cloud Practitioner - Handson Usecases</t>
  </si>
  <si>
    <t>Overall Efforts(in Mins)</t>
  </si>
  <si>
    <t>Overall Efforts(in Hrs)</t>
  </si>
  <si>
    <t>S.No</t>
  </si>
  <si>
    <t>Status</t>
  </si>
  <si>
    <t>Difficulty</t>
  </si>
  <si>
    <t>Title</t>
  </si>
  <si>
    <t>Skills</t>
  </si>
  <si>
    <t>Avg Time to Complete (mins)</t>
  </si>
  <si>
    <t>Learning Vault Link</t>
  </si>
  <si>
    <t>Learning Vault Code</t>
  </si>
  <si>
    <t>Completed</t>
  </si>
  <si>
    <t>Beginner</t>
  </si>
  <si>
    <t>Using S3 Bucket Policies and Conditions to Restrict Specific Permissions</t>
  </si>
  <si>
    <t>Amazon EC2</t>
  </si>
  <si>
    <t>https://cognizantonline.sharepoint.com/sites/Academy-cms/LS/MLCV-2020-215/AWS Beginner SOP - Create Your First Amazon EC2 Instance (Linux).docx.pdf</t>
  </si>
  <si>
    <t>MLCV-2020-215</t>
  </si>
  <si>
    <t>Create Your First Amazon EC2 Instance (Windows)</t>
  </si>
  <si>
    <t>x`</t>
  </si>
  <si>
    <t>https://cognizantonline.sharepoint.com/sites/Academy-cms/LS/MLCV-2020-216/AWS Beginner SOP - Create Your First Amazon EC2 Instance (Windows).docx.pdf</t>
  </si>
  <si>
    <t>MLCV-2020-216</t>
  </si>
  <si>
    <t>Creating and Working with an EC2 Instance</t>
  </si>
  <si>
    <t>https://cognizantonline.sharepoint.com/sites/Academy-cms/LS/MLCV-2020-294/AWS-SOP---Creating-and-Working-with-an-EC2-Instance.pdf</t>
  </si>
  <si>
    <t>MLCV-2020-294</t>
  </si>
  <si>
    <t>Creating EC2 Amazon Machine Images (AMIs)</t>
  </si>
  <si>
    <t>AMI</t>
  </si>
  <si>
    <t>https://cognizantonline.sharepoint.com/sites/Academy-cms/LS/MLCV-2020-402/AWS-Beginner-SOP---Creation-of-EC2-Amazon-Machine-Images-AMIs-using-AWS-Lambda.pdf</t>
  </si>
  <si>
    <t>MLCV-2020-402</t>
  </si>
  <si>
    <t>Create Your First Amazon S3 Bucket</t>
  </si>
  <si>
    <t>Amazon Simple Storage Service (S3)</t>
  </si>
  <si>
    <t xml:space="preserve"> </t>
  </si>
  <si>
    <t>MLCV-2020-218</t>
  </si>
  <si>
    <t>Creating Amazon S3 Bucket using CloudFormation</t>
  </si>
  <si>
    <t>https://cognizantonline.sharepoint.com/sites/Academy-cms/LS/MLCV-2020-418/AWS-Beginner-SOP---Creating-Amazon-S3-Bucket-using-CloudFormation.pdf</t>
  </si>
  <si>
    <t>MLCV-2020-418</t>
  </si>
  <si>
    <t>Amazon S3 Permissions</t>
  </si>
  <si>
    <t>https://cognizantonline.sharepoint.com/sites/Academy-cms/LS/MLCV-2020-296/AWS-SOP---Amazon-S3-Permissions.pdf</t>
  </si>
  <si>
    <t>MLCV-2020-296</t>
  </si>
  <si>
    <t>Create Your First Amazon RDS Database</t>
  </si>
  <si>
    <t>Amazon RDS</t>
  </si>
  <si>
    <t>https://cognizantonline.sharepoint.com/sites/Academy-cms/LS/MLCV-2020-217/AWS Beginner SOP - Create Your First Amazon RDS Database.docx.pdf</t>
  </si>
  <si>
    <t>MLCV-2020-217</t>
  </si>
  <si>
    <t>Introduction to Virtual Private Cloud (VPC)</t>
  </si>
  <si>
    <t>Amazon VPC</t>
  </si>
  <si>
    <t>https://cognizantonline.sharepoint.com/sites/Academy-cms/LS/MLCV-2020-233/AWS-Beginner-SOP---Introduction-to-Virtual-Private-Cloud-VPC.pdf</t>
  </si>
  <si>
    <t>MLCV-2020-233</t>
  </si>
  <si>
    <t>Create a CloudWatch Event and SNS Notification for your AWS Environment</t>
  </si>
  <si>
    <t>Cloudwatch</t>
  </si>
  <si>
    <t>https://cognizantonline.sharepoint.com/sites/Academy-cms/LS/MLCV-2020-400/AWS-Beginner-SOP---Create-a-CloudWatch-Event-and-SNS-Notification-for-your-AWS-Environment.pdf</t>
  </si>
  <si>
    <t>MLCV-2020-400</t>
  </si>
  <si>
    <t>Create an EBS-Backed Linux AMI</t>
  </si>
  <si>
    <t>Amazon EC2,Amazon Elastic Block Storage (EBS)</t>
  </si>
  <si>
    <t>https://cognizantonline.sharepoint.com/sites/Academy-cms/LS/MLCV-2020-213/AWS Beginner SOP - Create an EBS-Backed Linux AMI.docx.pdf</t>
  </si>
  <si>
    <t>MLCV-2020-213</t>
  </si>
  <si>
    <t>Creating and Subscribing to AWS SNS Topic</t>
  </si>
  <si>
    <t>SNS</t>
  </si>
  <si>
    <t>https://cognizantonline.sharepoint.com/sites/Academy-cms/LS/MLCV-2020-303/AWS-SOP---Creating-and-Subscribing-to-AWS-SNS-Topic.pdf</t>
  </si>
  <si>
    <t>MLCV-2020-303</t>
  </si>
  <si>
    <t>Creating AWS Lambda Function to Shutdown EC2 Instance</t>
  </si>
  <si>
    <t>Lambda</t>
  </si>
  <si>
    <t>https://cognizantonline.sharepoint.com/sites/Academy-cms/LS/MLCV-2020-297/AWS-SOP---Creating-AWS-Lambda-Function-to-Shutdown-EC2-Instance.pdf</t>
  </si>
  <si>
    <t>MLCV-2020-297</t>
  </si>
  <si>
    <t>Manage message queues using Amazon SQS</t>
  </si>
  <si>
    <t>Amazon Simple Queue Service (SQS)</t>
  </si>
  <si>
    <t>https://cognizantonline.sharepoint.com/sites/Academy-cms/LS/MLCV-2020-234/AWS Beginner SOP - Manage Message Queues Using Amazon SQS.docx.pdf</t>
  </si>
  <si>
    <t>MLCV-2020-234</t>
  </si>
  <si>
    <t>https://cognizantonline.sharepoint.com/sites/Academy-cms/LS/MLCV-2020-244/AWS Beginner SOP - Using S3 Bucket Policies and Conditions to Restrict Specific Permissions.docx.pdf</t>
  </si>
  <si>
    <t>MLCV-2020-244</t>
  </si>
  <si>
    <t xml:space="preserve">Employee Salary Description </t>
  </si>
  <si>
    <t>S No</t>
  </si>
  <si>
    <t>First Name</t>
  </si>
  <si>
    <t>Last name</t>
  </si>
  <si>
    <t>DOJ</t>
  </si>
  <si>
    <t>Sal-Jan</t>
  </si>
  <si>
    <t>Sal-Feb</t>
  </si>
  <si>
    <t>Sal-Mar</t>
  </si>
  <si>
    <t>Sal Total</t>
  </si>
  <si>
    <t>Avg Sal</t>
  </si>
  <si>
    <t>Full Name</t>
  </si>
  <si>
    <t>RNM</t>
  </si>
  <si>
    <t>KUMAR</t>
  </si>
  <si>
    <t>GOPAL</t>
  </si>
  <si>
    <t>VERMA</t>
  </si>
  <si>
    <t>JOSEPH</t>
  </si>
  <si>
    <t>RAUL</t>
  </si>
  <si>
    <t>HARI</t>
  </si>
  <si>
    <t>SINGH</t>
  </si>
  <si>
    <t>RAJA</t>
  </si>
  <si>
    <t>RAM</t>
  </si>
  <si>
    <t xml:space="preserve">Round </t>
  </si>
  <si>
    <t>Round Up</t>
  </si>
  <si>
    <t>Round Down</t>
  </si>
  <si>
    <t xml:space="preserve">Auto Fill </t>
  </si>
  <si>
    <t xml:space="preserve">January </t>
  </si>
  <si>
    <t xml:space="preserve">Monday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</si>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</sst>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4" fillId="0" borderId="0" xfId="0" applyFont="1"/>
    <xf numFmtId="0" fontId="2" fillId="3" borderId="0" xfId="0" applyFont="1" applyFill="1" applyAlignment="1">
      <alignment horizontal="center" wrapText="1"/>
    </xf>
    <xf numFmtId="0" fontId="1" fillId="0" borderId="0" xfId="0" applyFont="1"/>
    <xf numFmtId="0" fontId="1" fillId="0" borderId="2" xfId="0" applyFont="1" applyBorder="1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7" fillId="0" borderId="1" xfId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7" fillId="0" borderId="1" xfId="1" applyBorder="1" applyAlignment="1">
      <alignment horizontal="left" vertical="center"/>
    </xf>
    <xf numFmtId="0" fontId="7" fillId="4" borderId="1" xfId="1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gnizantonline.sharepoint.com/sites/Academy-cms/LS/MLCV-2020-418/AWS-Beginner-SOP---Creating-Amazon-S3-Bucket-using-CloudFormation.pdf" TargetMode="External"/><Relationship Id="rId13" Type="http://schemas.openxmlformats.org/officeDocument/2006/relationships/hyperlink" Target="../../../Academy-cms/LS/MLCV-2020-244/AWS%20Beginner%20SOP%20-%20Using%20S3%20Bucket%20Policies%20and%20Conditions%20to%20Restrict%20Specific%20Permissions.docx.pdf" TargetMode="External"/><Relationship Id="rId3" Type="http://schemas.openxmlformats.org/officeDocument/2006/relationships/hyperlink" Target="../MLCV-2020-234/AWS%20Beginner%20SOP%20-%20Manage%20Message%20Queues%20Using%20Amazon%20SQS.docx.pdf" TargetMode="External"/><Relationship Id="rId7" Type="http://schemas.openxmlformats.org/officeDocument/2006/relationships/hyperlink" Target="../MLCV-2020-213/AWS%20Beginner%20SOP%20-%20Create%20an%20EBS-Backed%20Linux%20AMI.docx.pdf" TargetMode="External"/><Relationship Id="rId12" Type="http://schemas.openxmlformats.org/officeDocument/2006/relationships/hyperlink" Target="../MLCV-2020-297/AWS-SOP---Creating-AWS-Lambda-Function-to-Shutdown-EC2-Instance.pdf" TargetMode="External"/><Relationship Id="rId2" Type="http://schemas.openxmlformats.org/officeDocument/2006/relationships/hyperlink" Target="https://cognizantonline.sharepoint.com/sites/Academy-cms/LS/MLCV-2020-294/AWS-SOP---Creating-and-Working-with-an-EC2-Instance.pdf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ognizantonline.sharepoint.com/sites/Academy-cms/LS/MLCV-2020-233/AWS-Beginner-SOP---Introduction-to-Virtual-Private-Cloud-VPC.pdf" TargetMode="External"/><Relationship Id="rId6" Type="http://schemas.openxmlformats.org/officeDocument/2006/relationships/hyperlink" Target="../MLCV-2020-218/AWS-Beginner-SOP---Create-Your-First-Amazon-S3-Bucket.pdf" TargetMode="External"/><Relationship Id="rId11" Type="http://schemas.openxmlformats.org/officeDocument/2006/relationships/hyperlink" Target="../MLCV-2020-303/AWS-SOP---Creating-and-Subscribing-to-AWS-SNS-Topic.pdf" TargetMode="External"/><Relationship Id="rId5" Type="http://schemas.openxmlformats.org/officeDocument/2006/relationships/hyperlink" Target="../MLCV-2020-217/AWS%20Beginner%20SOP%20-%20Create%20Your%20First%20Amazon%20RDS%20Database.docx.pdf" TargetMode="External"/><Relationship Id="rId15" Type="http://schemas.openxmlformats.org/officeDocument/2006/relationships/hyperlink" Target="https://cognizantonline.sharepoint.com/sites/Academy-cms/LS/MLCV-2020-215/AWS%20Beginner%20SOP%20-%20Create%20Your%20First%20Amazon%20EC2%20Instance%20(Linux).docx.pdf" TargetMode="External"/><Relationship Id="rId10" Type="http://schemas.openxmlformats.org/officeDocument/2006/relationships/hyperlink" Target="../MLCV-2020-400/AWS-Beginner-SOP---Create-a-CloudWatch-Event-and-SNS-Notification-for-your-AWS-Environment.pdf" TargetMode="External"/><Relationship Id="rId4" Type="http://schemas.openxmlformats.org/officeDocument/2006/relationships/hyperlink" Target="../MLCV-2020-402/AWS-Beginner-SOP---Creation-of-EC2-Amazon-Machine-Images-AMIs-using-AWS-Lambda.pdf" TargetMode="External"/><Relationship Id="rId9" Type="http://schemas.openxmlformats.org/officeDocument/2006/relationships/hyperlink" Target="../MLCV-2020-296/AWS-SOP---Amazon-S3-Permissions.pdf" TargetMode="External"/><Relationship Id="rId14" Type="http://schemas.openxmlformats.org/officeDocument/2006/relationships/hyperlink" Target="https://cognizantonline.sharepoint.com/sites/Academy-cms/LS/MLCV-2020-216/AWS%20Beginner%20SOP%20-%20Create%20Your%20First%20Amazon%20EC2%20Instance%20(Windows).doc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E5" workbookViewId="0">
      <selection activeCell="G8" sqref="G8"/>
    </sheetView>
  </sheetViews>
  <sheetFormatPr defaultRowHeight="14.45"/>
  <cols>
    <col min="1" max="1" width="4" customWidth="1"/>
    <col min="2" max="2" width="15.5703125" customWidth="1"/>
    <col min="3" max="3" width="35.140625" customWidth="1"/>
    <col min="4" max="4" width="51.85546875" customWidth="1"/>
    <col min="5" max="5" width="31.140625" customWidth="1"/>
    <col min="6" max="6" width="12.28515625" style="2" customWidth="1"/>
    <col min="7" max="7" width="158.7109375" style="3" bestFit="1" customWidth="1"/>
    <col min="8" max="8" width="21.28515625" bestFit="1" customWidth="1"/>
  </cols>
  <sheetData>
    <row r="1" spans="1:9">
      <c r="C1" s="25" t="s">
        <v>0</v>
      </c>
      <c r="D1" s="25"/>
      <c r="E1" s="4"/>
    </row>
    <row r="2" spans="1:9">
      <c r="C2" s="1" t="s">
        <v>1</v>
      </c>
      <c r="D2" s="1">
        <f>SUM(F:F)</f>
        <v>900</v>
      </c>
      <c r="E2" s="5"/>
    </row>
    <row r="3" spans="1:9">
      <c r="C3" s="1" t="s">
        <v>2</v>
      </c>
      <c r="D3" s="1">
        <f>D2/60</f>
        <v>15</v>
      </c>
      <c r="E3" s="5"/>
    </row>
    <row r="4" spans="1:9">
      <c r="C4" s="6"/>
      <c r="D4" s="6"/>
      <c r="E4" s="5"/>
    </row>
    <row r="5" spans="1:9" s="7" customFormat="1" ht="27.75" customHeight="1">
      <c r="A5" s="10" t="s">
        <v>3</v>
      </c>
      <c r="B5" s="10" t="s">
        <v>4</v>
      </c>
      <c r="C5" s="10" t="s">
        <v>5</v>
      </c>
      <c r="D5" s="11" t="s">
        <v>6</v>
      </c>
      <c r="E5" s="11" t="s">
        <v>7</v>
      </c>
      <c r="F5" s="12" t="s">
        <v>8</v>
      </c>
      <c r="G5" s="10" t="s">
        <v>9</v>
      </c>
      <c r="H5" s="10" t="s">
        <v>10</v>
      </c>
    </row>
    <row r="6" spans="1:9" ht="15">
      <c r="A6" s="8">
        <v>1</v>
      </c>
      <c r="B6" s="18" t="s">
        <v>11</v>
      </c>
      <c r="C6" s="14" t="s">
        <v>12</v>
      </c>
      <c r="D6" s="8" t="s">
        <v>13</v>
      </c>
      <c r="E6" s="8" t="s">
        <v>14</v>
      </c>
      <c r="F6" s="8">
        <v>60</v>
      </c>
      <c r="G6" s="16" t="s">
        <v>15</v>
      </c>
      <c r="H6" s="8" t="s">
        <v>16</v>
      </c>
      <c r="I6" s="7"/>
    </row>
    <row r="7" spans="1:9" ht="20.100000000000001" customHeight="1">
      <c r="A7" s="8">
        <v>2</v>
      </c>
      <c r="B7" s="18" t="s">
        <v>11</v>
      </c>
      <c r="C7" s="14" t="s">
        <v>12</v>
      </c>
      <c r="D7" s="8" t="s">
        <v>17</v>
      </c>
      <c r="E7" s="8" t="s">
        <v>14</v>
      </c>
      <c r="F7" s="8" t="s">
        <v>18</v>
      </c>
      <c r="G7" s="16" t="s">
        <v>19</v>
      </c>
      <c r="H7" s="8" t="s">
        <v>20</v>
      </c>
      <c r="I7" s="7"/>
    </row>
    <row r="8" spans="1:9" ht="20.100000000000001" customHeight="1">
      <c r="A8" s="8">
        <v>3</v>
      </c>
      <c r="B8" s="18" t="s">
        <v>11</v>
      </c>
      <c r="C8" s="14" t="s">
        <v>12</v>
      </c>
      <c r="D8" s="9" t="s">
        <v>21</v>
      </c>
      <c r="E8" s="8" t="s">
        <v>14</v>
      </c>
      <c r="F8" s="9">
        <v>60</v>
      </c>
      <c r="G8" s="16" t="s">
        <v>22</v>
      </c>
      <c r="H8" s="8" t="s">
        <v>23</v>
      </c>
    </row>
    <row r="9" spans="1:9" ht="20.100000000000001" customHeight="1">
      <c r="A9" s="8">
        <v>4</v>
      </c>
      <c r="B9" s="18" t="s">
        <v>11</v>
      </c>
      <c r="C9" s="8" t="s">
        <v>12</v>
      </c>
      <c r="D9" s="9" t="s">
        <v>24</v>
      </c>
      <c r="E9" s="8" t="s">
        <v>25</v>
      </c>
      <c r="F9" s="9">
        <v>90</v>
      </c>
      <c r="G9" s="13" t="s">
        <v>26</v>
      </c>
      <c r="H9" s="8" t="s">
        <v>27</v>
      </c>
    </row>
    <row r="10" spans="1:9" ht="20.100000000000001" customHeight="1">
      <c r="A10" s="8">
        <v>5</v>
      </c>
      <c r="B10" s="18" t="s">
        <v>11</v>
      </c>
      <c r="C10" s="8" t="s">
        <v>12</v>
      </c>
      <c r="D10" s="8" t="s">
        <v>28</v>
      </c>
      <c r="E10" s="8" t="s">
        <v>29</v>
      </c>
      <c r="F10" s="8">
        <v>45</v>
      </c>
      <c r="G10" s="13" t="s">
        <v>30</v>
      </c>
      <c r="H10" s="8" t="s">
        <v>31</v>
      </c>
    </row>
    <row r="11" spans="1:9" ht="20.100000000000001" customHeight="1">
      <c r="A11" s="8">
        <v>6</v>
      </c>
      <c r="B11" s="8"/>
      <c r="C11" s="8" t="s">
        <v>12</v>
      </c>
      <c r="D11" s="9" t="s">
        <v>32</v>
      </c>
      <c r="E11" s="8" t="s">
        <v>29</v>
      </c>
      <c r="F11" s="9">
        <v>60</v>
      </c>
      <c r="G11" s="13" t="s">
        <v>33</v>
      </c>
      <c r="H11" s="8" t="s">
        <v>34</v>
      </c>
    </row>
    <row r="12" spans="1:9">
      <c r="A12" s="8">
        <v>7</v>
      </c>
      <c r="B12" s="8"/>
      <c r="C12" s="8" t="s">
        <v>12</v>
      </c>
      <c r="D12" s="9" t="s">
        <v>35</v>
      </c>
      <c r="E12" s="8" t="s">
        <v>29</v>
      </c>
      <c r="F12" s="9">
        <v>75</v>
      </c>
      <c r="G12" s="13" t="s">
        <v>36</v>
      </c>
      <c r="H12" s="8" t="s">
        <v>37</v>
      </c>
    </row>
    <row r="13" spans="1:9" ht="20.100000000000001" customHeight="1">
      <c r="A13" s="8">
        <v>8</v>
      </c>
      <c r="B13" s="18">
        <v>12</v>
      </c>
      <c r="C13" s="8" t="s">
        <v>12</v>
      </c>
      <c r="D13" s="8" t="s">
        <v>38</v>
      </c>
      <c r="E13" s="17" t="s">
        <v>39</v>
      </c>
      <c r="F13" s="8">
        <v>75</v>
      </c>
      <c r="G13" s="13" t="s">
        <v>40</v>
      </c>
      <c r="H13" s="8" t="s">
        <v>41</v>
      </c>
    </row>
    <row r="14" spans="1:9" ht="20.100000000000001" customHeight="1">
      <c r="A14" s="8">
        <v>9</v>
      </c>
      <c r="B14" s="8"/>
      <c r="C14" s="8" t="s">
        <v>12</v>
      </c>
      <c r="D14" s="8" t="s">
        <v>42</v>
      </c>
      <c r="E14" s="17" t="s">
        <v>43</v>
      </c>
      <c r="F14" s="8">
        <v>90</v>
      </c>
      <c r="G14" s="13" t="s">
        <v>44</v>
      </c>
      <c r="H14" s="8" t="s">
        <v>45</v>
      </c>
    </row>
    <row r="15" spans="1:9">
      <c r="A15" s="8">
        <v>10</v>
      </c>
      <c r="B15" s="8"/>
      <c r="C15" s="8" t="s">
        <v>12</v>
      </c>
      <c r="D15" s="9" t="s">
        <v>46</v>
      </c>
      <c r="E15" s="17" t="s">
        <v>47</v>
      </c>
      <c r="F15" s="9">
        <v>75</v>
      </c>
      <c r="G15" s="13" t="s">
        <v>48</v>
      </c>
      <c r="H15" s="8" t="s">
        <v>49</v>
      </c>
    </row>
    <row r="16" spans="1:9" ht="24.6">
      <c r="A16" s="8">
        <v>11</v>
      </c>
      <c r="B16" s="8"/>
      <c r="C16" s="8" t="s">
        <v>12</v>
      </c>
      <c r="D16" s="8" t="s">
        <v>50</v>
      </c>
      <c r="E16" s="17" t="s">
        <v>51</v>
      </c>
      <c r="F16" s="8">
        <v>30</v>
      </c>
      <c r="G16" s="15" t="s">
        <v>52</v>
      </c>
      <c r="H16" s="8" t="s">
        <v>53</v>
      </c>
    </row>
    <row r="17" spans="1:8" ht="20.100000000000001" customHeight="1">
      <c r="A17" s="8">
        <v>12</v>
      </c>
      <c r="B17" s="8"/>
      <c r="C17" s="8" t="s">
        <v>12</v>
      </c>
      <c r="D17" s="8" t="s">
        <v>54</v>
      </c>
      <c r="E17" s="8" t="s">
        <v>55</v>
      </c>
      <c r="F17" s="8">
        <v>60</v>
      </c>
      <c r="G17" s="13" t="s">
        <v>56</v>
      </c>
      <c r="H17" s="8" t="s">
        <v>57</v>
      </c>
    </row>
    <row r="18" spans="1:8" ht="20.100000000000001" customHeight="1">
      <c r="A18" s="8">
        <v>13</v>
      </c>
      <c r="B18" s="8"/>
      <c r="C18" s="8" t="s">
        <v>12</v>
      </c>
      <c r="D18" s="8" t="s">
        <v>58</v>
      </c>
      <c r="E18" s="8" t="s">
        <v>59</v>
      </c>
      <c r="F18" s="8">
        <v>75</v>
      </c>
      <c r="G18" s="13" t="s">
        <v>60</v>
      </c>
      <c r="H18" s="8" t="s">
        <v>61</v>
      </c>
    </row>
    <row r="19" spans="1:8" ht="20.100000000000001" customHeight="1">
      <c r="A19" s="8">
        <v>14</v>
      </c>
      <c r="B19" s="8"/>
      <c r="C19" s="8" t="s">
        <v>12</v>
      </c>
      <c r="D19" s="8" t="s">
        <v>62</v>
      </c>
      <c r="E19" s="8" t="s">
        <v>63</v>
      </c>
      <c r="F19" s="8">
        <v>45</v>
      </c>
      <c r="G19" s="13" t="s">
        <v>64</v>
      </c>
      <c r="H19" s="8" t="s">
        <v>65</v>
      </c>
    </row>
    <row r="20" spans="1:8" ht="20.100000000000001" customHeight="1">
      <c r="A20" s="8">
        <v>15</v>
      </c>
      <c r="B20" s="8"/>
      <c r="C20" s="8" t="s">
        <v>12</v>
      </c>
      <c r="D20" s="8" t="s">
        <v>13</v>
      </c>
      <c r="E20" s="8" t="s">
        <v>29</v>
      </c>
      <c r="F20" s="8">
        <v>60</v>
      </c>
      <c r="G20" s="13" t="s">
        <v>66</v>
      </c>
      <c r="H20" s="8" t="s">
        <v>67</v>
      </c>
    </row>
  </sheetData>
  <mergeCells count="1">
    <mergeCell ref="C1:D1"/>
  </mergeCells>
  <hyperlinks>
    <hyperlink ref="G14" r:id="rId1" xr:uid="{DF6AED58-5D24-4377-80E3-1AF420F01B34}"/>
    <hyperlink ref="G8" r:id="rId2" xr:uid="{2C58BC84-4C54-44AB-9471-F7CE02CB6ADA}"/>
    <hyperlink ref="G19" r:id="rId3" xr:uid="{F5DE0802-0C28-457A-89AA-164EDB7C26EB}"/>
    <hyperlink ref="G9" r:id="rId4" xr:uid="{66FD0CEA-2992-4D53-A921-9C545BD6985C}"/>
    <hyperlink ref="G13" r:id="rId5" xr:uid="{FC01827B-21A3-41FD-BDBE-EA8E3BA7F9A2}"/>
    <hyperlink ref="G10" r:id="rId6" xr:uid="{9C439AE7-1766-4862-AE2A-38D71257370F}"/>
    <hyperlink ref="G16" r:id="rId7" xr:uid="{05EA87ED-6453-4D82-B715-A0878E2F37D6}"/>
    <hyperlink ref="G11" r:id="rId8" xr:uid="{3C487CAA-CBA0-42E8-9DE5-311E3654C8A7}"/>
    <hyperlink ref="G12" r:id="rId9" xr:uid="{C069B051-67D1-400B-B4AE-1833C561A6A0}"/>
    <hyperlink ref="G15" r:id="rId10" xr:uid="{995AE8E5-6BA9-475A-B1E7-B34AF705F4B6}"/>
    <hyperlink ref="G17" r:id="rId11" xr:uid="{86D8DEC1-EA79-4EC2-ACE9-B2DA60E1F9FE}"/>
    <hyperlink ref="G18" r:id="rId12" xr:uid="{11D6624B-73D3-46A8-99EB-0668CD6E861C}"/>
    <hyperlink ref="G20" r:id="rId13" xr:uid="{29169BAC-CC3D-43D9-BB87-DFF0BA5FC44E}"/>
    <hyperlink ref="G7" r:id="rId14" xr:uid="{7DD3335C-27A1-4906-B3D7-C41AA581E108}"/>
    <hyperlink ref="G6" r:id="rId15" xr:uid="{AE334742-5429-4D4F-99A6-09D071FD86FB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4E89-ACCC-4886-929B-E9120FBA163A}">
  <dimension ref="A1:J29"/>
  <sheetViews>
    <sheetView topLeftCell="D1" workbookViewId="0">
      <selection activeCell="F18" sqref="F18"/>
    </sheetView>
  </sheetViews>
  <sheetFormatPr defaultRowHeight="14.45"/>
  <cols>
    <col min="1" max="1" width="4.5703125" bestFit="1" customWidth="1"/>
    <col min="2" max="2" width="9.7109375" bestFit="1" customWidth="1"/>
    <col min="3" max="3" width="9.28515625" bestFit="1" customWidth="1"/>
    <col min="4" max="4" width="10.42578125" bestFit="1" customWidth="1"/>
    <col min="5" max="5" width="9.85546875" bestFit="1" customWidth="1"/>
    <col min="10" max="10" width="13.140625" bestFit="1" customWidth="1"/>
  </cols>
  <sheetData>
    <row r="1" spans="1:10">
      <c r="D1" s="26" t="s">
        <v>68</v>
      </c>
      <c r="E1" s="27"/>
      <c r="F1" s="27"/>
      <c r="G1" s="27"/>
      <c r="H1" s="27"/>
      <c r="I1" s="27"/>
      <c r="J1" s="27"/>
    </row>
    <row r="2" spans="1:10">
      <c r="D2" s="27"/>
      <c r="E2" s="27"/>
      <c r="F2" s="27"/>
      <c r="G2" s="27"/>
      <c r="H2" s="27"/>
      <c r="I2" s="27"/>
      <c r="J2" s="27"/>
    </row>
    <row r="4" spans="1:10">
      <c r="A4" s="19" t="s">
        <v>69</v>
      </c>
      <c r="B4" s="20" t="s">
        <v>70</v>
      </c>
      <c r="C4" s="20" t="s">
        <v>71</v>
      </c>
      <c r="D4" s="20" t="s">
        <v>72</v>
      </c>
      <c r="E4" s="19" t="s">
        <v>73</v>
      </c>
      <c r="F4" s="19" t="s">
        <v>74</v>
      </c>
      <c r="G4" s="19" t="s">
        <v>75</v>
      </c>
      <c r="H4" s="19" t="s">
        <v>76</v>
      </c>
      <c r="I4" s="19" t="s">
        <v>77</v>
      </c>
      <c r="J4" s="20" t="s">
        <v>78</v>
      </c>
    </row>
    <row r="5" spans="1:10">
      <c r="A5" s="21">
        <v>1</v>
      </c>
      <c r="B5" s="22" t="s">
        <v>79</v>
      </c>
      <c r="C5" s="22" t="s">
        <v>80</v>
      </c>
      <c r="D5" s="23">
        <v>42030</v>
      </c>
      <c r="E5" s="21">
        <v>1500</v>
      </c>
      <c r="F5" s="21">
        <v>1200</v>
      </c>
      <c r="G5" s="21">
        <v>1500</v>
      </c>
      <c r="H5" s="21">
        <f>SUM(E5,F5,G5)</f>
        <v>4200</v>
      </c>
      <c r="I5" s="24">
        <f>AVERAGE(E5:G5)</f>
        <v>1400</v>
      </c>
      <c r="J5" s="22" t="str">
        <f t="shared" ref="J5:J10" si="0">CONCATENATE(B5," ",C5)</f>
        <v>RNM KUMAR</v>
      </c>
    </row>
    <row r="6" spans="1:10">
      <c r="A6" s="21">
        <v>2</v>
      </c>
      <c r="B6" s="22" t="s">
        <v>81</v>
      </c>
      <c r="C6" s="22" t="s">
        <v>82</v>
      </c>
      <c r="D6" s="23">
        <v>42954</v>
      </c>
      <c r="E6" s="21">
        <v>1700</v>
      </c>
      <c r="F6" s="21">
        <v>1800</v>
      </c>
      <c r="G6" s="21">
        <v>2000</v>
      </c>
      <c r="H6" s="21">
        <f t="shared" ref="H6:H10" si="1">SUM(E6,F6,G6)</f>
        <v>5500</v>
      </c>
      <c r="I6" s="24">
        <f t="shared" ref="I6:I10" si="2">AVERAGE(E6:G6)</f>
        <v>1833.3333333333333</v>
      </c>
      <c r="J6" s="22" t="str">
        <f t="shared" si="0"/>
        <v>GOPAL VERMA</v>
      </c>
    </row>
    <row r="7" spans="1:10">
      <c r="A7" s="21">
        <v>1</v>
      </c>
      <c r="B7" s="22" t="s">
        <v>79</v>
      </c>
      <c r="C7" s="22" t="s">
        <v>80</v>
      </c>
      <c r="D7" s="23">
        <v>42030</v>
      </c>
      <c r="E7" s="21">
        <v>1500</v>
      </c>
      <c r="F7" s="21">
        <v>1200</v>
      </c>
      <c r="G7" s="21">
        <v>1500</v>
      </c>
      <c r="H7" s="21">
        <f>SUM(E7,F7,G7)</f>
        <v>4200</v>
      </c>
      <c r="I7" s="24">
        <f>AVERAGE(E7:G7)</f>
        <v>1400</v>
      </c>
      <c r="J7" s="22" t="str">
        <f t="shared" si="0"/>
        <v>RNM KUMAR</v>
      </c>
    </row>
    <row r="8" spans="1:10">
      <c r="A8" s="21">
        <v>3</v>
      </c>
      <c r="B8" s="22" t="s">
        <v>83</v>
      </c>
      <c r="C8" s="22" t="s">
        <v>84</v>
      </c>
      <c r="D8" s="23">
        <v>40976</v>
      </c>
      <c r="E8" s="21">
        <v>1800</v>
      </c>
      <c r="F8" s="21">
        <v>1500</v>
      </c>
      <c r="G8" s="21">
        <v>1900</v>
      </c>
      <c r="H8" s="21">
        <f t="shared" si="1"/>
        <v>5200</v>
      </c>
      <c r="I8" s="24">
        <f t="shared" si="2"/>
        <v>1733.3333333333333</v>
      </c>
      <c r="J8" s="22" t="str">
        <f t="shared" si="0"/>
        <v>JOSEPH RAUL</v>
      </c>
    </row>
    <row r="9" spans="1:10">
      <c r="A9" s="21">
        <v>4</v>
      </c>
      <c r="B9" s="22" t="s">
        <v>85</v>
      </c>
      <c r="C9" s="22" t="s">
        <v>86</v>
      </c>
      <c r="D9" s="23">
        <v>43402</v>
      </c>
      <c r="E9" s="21">
        <v>1200</v>
      </c>
      <c r="F9" s="21">
        <v>1500</v>
      </c>
      <c r="G9" s="21">
        <v>1800</v>
      </c>
      <c r="H9" s="21">
        <f t="shared" si="1"/>
        <v>4500</v>
      </c>
      <c r="I9" s="24">
        <f t="shared" si="2"/>
        <v>1500</v>
      </c>
      <c r="J9" s="22" t="str">
        <f t="shared" si="0"/>
        <v>HARI SINGH</v>
      </c>
    </row>
    <row r="10" spans="1:10">
      <c r="A10" s="21">
        <v>5</v>
      </c>
      <c r="B10" s="22" t="s">
        <v>87</v>
      </c>
      <c r="C10" s="22" t="s">
        <v>88</v>
      </c>
      <c r="D10" s="23">
        <v>44077</v>
      </c>
      <c r="E10" s="21">
        <v>2000</v>
      </c>
      <c r="F10" s="21">
        <v>2500</v>
      </c>
      <c r="G10" s="21">
        <v>2900</v>
      </c>
      <c r="H10" s="21">
        <f t="shared" si="1"/>
        <v>7400</v>
      </c>
      <c r="I10" s="24">
        <f t="shared" si="2"/>
        <v>2466.6666666666665</v>
      </c>
      <c r="J10" s="22" t="str">
        <f t="shared" si="0"/>
        <v>RAJA RAM</v>
      </c>
    </row>
    <row r="13" spans="1:10">
      <c r="E13" t="s">
        <v>89</v>
      </c>
      <c r="F13" t="s">
        <v>90</v>
      </c>
      <c r="G13" t="s">
        <v>91</v>
      </c>
    </row>
    <row r="14" spans="1:10">
      <c r="D14">
        <v>1.0333300000000001</v>
      </c>
      <c r="E14">
        <f>ROUND(D14,0)</f>
        <v>1</v>
      </c>
      <c r="F14">
        <f>ROUNDUP(D14,0)</f>
        <v>2</v>
      </c>
      <c r="G14">
        <f>ROUNDDOWN(D14,0)</f>
        <v>1</v>
      </c>
    </row>
    <row r="16" spans="1:10">
      <c r="E16" t="s">
        <v>92</v>
      </c>
    </row>
    <row r="18" spans="5:6">
      <c r="E18" t="s">
        <v>93</v>
      </c>
      <c r="F18" t="s">
        <v>94</v>
      </c>
    </row>
    <row r="19" spans="5:6">
      <c r="E19" t="s">
        <v>95</v>
      </c>
    </row>
    <row r="20" spans="5:6">
      <c r="E20" t="s">
        <v>96</v>
      </c>
    </row>
    <row r="21" spans="5:6">
      <c r="E21" t="s">
        <v>97</v>
      </c>
    </row>
    <row r="22" spans="5:6">
      <c r="E22" t="s">
        <v>98</v>
      </c>
    </row>
    <row r="23" spans="5:6">
      <c r="E23" t="s">
        <v>99</v>
      </c>
    </row>
    <row r="24" spans="5:6">
      <c r="E24" t="s">
        <v>100</v>
      </c>
    </row>
    <row r="25" spans="5:6">
      <c r="E25" t="s">
        <v>101</v>
      </c>
    </row>
    <row r="26" spans="5:6">
      <c r="E26" t="s">
        <v>102</v>
      </c>
    </row>
    <row r="27" spans="5:6">
      <c r="E27" t="s">
        <v>103</v>
      </c>
    </row>
    <row r="28" spans="5:6">
      <c r="E28" t="s">
        <v>104</v>
      </c>
    </row>
    <row r="29" spans="5:6">
      <c r="E29" t="s">
        <v>105</v>
      </c>
    </row>
  </sheetData>
  <mergeCells count="1">
    <mergeCell ref="D1:J2"/>
  </mergeCells>
  <phoneticPr fontId="10" type="noConversion"/>
  <conditionalFormatting sqref="J3:J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Description xmlns="5b600fcd-180b-45fe-b7a7-8a18c016e5ae">AWS Cloud Practitioner - Hands-on Lab -[ 101- BASICS]</ContentDescription>
    <RefineBy xmlns="5b600fcd-180b-45fe-b7a7-8a18c016e5ae" xsi:nil="true"/>
    <ContributedTrimmed xmlns="5b600fcd-180b-45fe-b7a7-8a18c016e5ae">Nadarajah, Sangeetha </ContributedTrimmed>
    <Level1 xmlns="5b600fcd-180b-45fe-b7a7-8a18c016e5ae" xsi:nil="true"/>
    <Sources xmlns="5b600fcd-180b-45fe-b7a7-8a18c016e5ae" xsi:nil="true"/>
    <LinkGenerated xmlns="5b600fcd-180b-45fe-b7a7-8a18c016e5ae">https://cognizantonline.sharepoint.com/sites/Academy-cms/LS/MLCV-2020-451/AWS-Cloud-Practitioner.xlsx</LinkGenerated>
    <PublishingDate xmlns="5b600fcd-180b-45fe-b7a7-8a18c016e5ae" xsi:nil="true"/>
    <ActivityName xmlns="5b600fcd-180b-45fe-b7a7-8a18c016e5ae">AWS Cloud Practitioner - Hands-on Lab </ActivityName>
    <DocumentType xmlns="5b600fcd-180b-45fe-b7a7-8a18c016e5ae" xsi:nil="true"/>
    <Price xmlns="5b600fcd-180b-45fe-b7a7-8a18c016e5ae" xsi:nil="true"/>
    <Subjects xmlns="5b600fcd-180b-45fe-b7a7-8a18c016e5ae">Technical</Subjects>
    <CLActivityCode xmlns="5b600fcd-180b-45fe-b7a7-8a18c016e5ae" xsi:nil="true"/>
    <PublishedBy xmlns="5b600fcd-180b-45fe-b7a7-8a18c016e5ae" xsi:nil="true"/>
    <RefineResultsByType xmlns="5b600fcd-180b-45fe-b7a7-8a18c016e5ae">Formal Learning Content</RefineResultsByType>
    <ActivityCode xmlns="5b600fcd-180b-45fe-b7a7-8a18c016e5ae">MLCV-2020-451</ActivityCode>
    <Coverages xmlns="5b600fcd-180b-45fe-b7a7-8a18c016e5ae" xsi:nil="true"/>
    <CreatedBy xmlns="5b600fcd-180b-45fe-b7a7-8a18c016e5ae">Nadarajah, Sangeetha (Cognizant)</CreatedBy>
    <CopyRights xmlns="5b600fcd-180b-45fe-b7a7-8a18c016e5ae" xsi:nil="true"/>
    <Level2 xmlns="5b600fcd-180b-45fe-b7a7-8a18c016e5ae" xsi:nil="true"/>
    <ContributedBy xmlns="5b600fcd-180b-45fe-b7a7-8a18c016e5ae">Nadarajah, Sangeetha (Cognizant)</ContributedBy>
    <ReasonsForRejection xmlns="5b600fcd-180b-45fe-b7a7-8a18c016e5ae" xsi:nil="true"/>
    <RequestNumber xmlns="5b600fcd-180b-45fe-b7a7-8a18c016e5ae">451</RequestNumber>
    <Level3 xmlns="5b600fcd-180b-45fe-b7a7-8a18c016e5ae" xsi:nil="true"/>
    <CategoryAvailable xmlns="5b600fcd-180b-45fe-b7a7-8a18c016e5ae">Reference Documents(.pdf,Excel,Word,PPT)</CategoryAvailable>
    <SearchKeywords xmlns="5b600fcd-180b-45fe-b7a7-8a18c016e5ae">AWS Cloud Practitioner - Hands-on Lab -[ 101- BASICS]</SearchKeywords>
    <Approver xmlns="5b600fcd-180b-45fe-b7a7-8a18c016e5ae" xsi:nil="true"/>
    <SubTopic xmlns="5b600fcd-180b-45fe-b7a7-8a18c016e5ae">Cloud Capability Academy</SubTopic>
    <Topic xmlns="5b600fcd-180b-45fe-b7a7-8a18c016e5ae">AWS</Topic>
    <AdditionalReference xmlns="5b600fcd-180b-45fe-b7a7-8a18c016e5ae" xsi:nil="true"/>
    <Active xmlns="f558d95f-84fb-48d4-bf6f-b4299b446435">yes</Active>
    <lcf76f155ced4ddcb4097134ff3c332f xmlns="f558d95f-84fb-48d4-bf6f-b4299b446435">
      <Terms xmlns="http://schemas.microsoft.com/office/infopath/2007/PartnerControls"/>
    </lcf76f155ced4ddcb4097134ff3c332f>
    <TaxCatchAll xmlns="3c35e321-f73a-4dae-ae38-a0459de24735" xsi:nil="true"/>
    <ContentType0 xmlns="f558d95f-84fb-48d4-bf6f-b4299b4464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2EEA328929949B8EE9B87C42F2262" ma:contentTypeVersion="53" ma:contentTypeDescription="Create a new document." ma:contentTypeScope="" ma:versionID="13204c0af50d0e7f03e590cbdb957645">
  <xsd:schema xmlns:xsd="http://www.w3.org/2001/XMLSchema" xmlns:xs="http://www.w3.org/2001/XMLSchema" xmlns:p="http://schemas.microsoft.com/office/2006/metadata/properties" xmlns:ns2="5b600fcd-180b-45fe-b7a7-8a18c016e5ae" xmlns:ns3="f558d95f-84fb-48d4-bf6f-b4299b446435" xmlns:ns4="3c35e321-f73a-4dae-ae38-a0459de24735" targetNamespace="http://schemas.microsoft.com/office/2006/metadata/properties" ma:root="true" ma:fieldsID="cab80469769aaf7ca9d9626a4a82c368" ns2:_="" ns3:_="" ns4:_="">
    <xsd:import namespace="5b600fcd-180b-45fe-b7a7-8a18c016e5ae"/>
    <xsd:import namespace="f558d95f-84fb-48d4-bf6f-b4299b446435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ActivityCode" minOccurs="0"/>
                <xsd:element ref="ns2:ActivityName" minOccurs="0"/>
                <xsd:element ref="ns2:AdditionalReference" minOccurs="0"/>
                <xsd:element ref="ns2:Approver" minOccurs="0"/>
                <xsd:element ref="ns2:CategoryAvailable" minOccurs="0"/>
                <xsd:element ref="ns2:ContentDescription" minOccurs="0"/>
                <xsd:element ref="ns2:ContributedBy" minOccurs="0"/>
                <xsd:element ref="ns2:CopyRights" minOccurs="0"/>
                <xsd:element ref="ns2:Coverages" minOccurs="0"/>
                <xsd:element ref="ns2:CreatedBy" minOccurs="0"/>
                <xsd:element ref="ns2:DocumentType" minOccurs="0"/>
                <xsd:element ref="ns2:Level1" minOccurs="0"/>
                <xsd:element ref="ns2:Level2" minOccurs="0"/>
                <xsd:element ref="ns2:Level3" minOccurs="0"/>
                <xsd:element ref="ns2:LinkGenerated" minOccurs="0"/>
                <xsd:element ref="ns2:Price" minOccurs="0"/>
                <xsd:element ref="ns2:PublishedBy" minOccurs="0"/>
                <xsd:element ref="ns2:PublishingDate" minOccurs="0"/>
                <xsd:element ref="ns2:ReasonsForRejection" minOccurs="0"/>
                <xsd:element ref="ns2:RefineBy" minOccurs="0"/>
                <xsd:element ref="ns2:RequestNumber" minOccurs="0"/>
                <xsd:element ref="ns2:SearchKeywords" minOccurs="0"/>
                <xsd:element ref="ns2:Sources" minOccurs="0"/>
                <xsd:element ref="ns2:Subjects" minOccurs="0"/>
                <xsd:element ref="ns2:SubTopic" minOccurs="0"/>
                <xsd:element ref="ns2:Topic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2:ContributedTrimmed" minOccurs="0"/>
                <xsd:element ref="ns2:CLActivityCode" minOccurs="0"/>
                <xsd:element ref="ns2:RefineResultsByTyp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Activ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ContentType0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00fcd-180b-45fe-b7a7-8a18c016e5ae" elementFormDefault="qualified">
    <xsd:import namespace="http://schemas.microsoft.com/office/2006/documentManagement/types"/>
    <xsd:import namespace="http://schemas.microsoft.com/office/infopath/2007/PartnerControls"/>
    <xsd:element name="ActivityCode" ma:index="8" nillable="true" ma:displayName="ActivityCode" ma:indexed="true" ma:internalName="ActivityCode">
      <xsd:simpleType>
        <xsd:restriction base="dms:Text">
          <xsd:maxLength value="255"/>
        </xsd:restriction>
      </xsd:simpleType>
    </xsd:element>
    <xsd:element name="ActivityName" ma:index="9" nillable="true" ma:displayName="ActivityName" ma:indexed="true" ma:internalName="ActivityName">
      <xsd:simpleType>
        <xsd:restriction base="dms:Text">
          <xsd:maxLength value="255"/>
        </xsd:restriction>
      </xsd:simpleType>
    </xsd:element>
    <xsd:element name="AdditionalReference" ma:index="10" nillable="true" ma:displayName="AdditionalReference" ma:internalName="AdditionalReference">
      <xsd:simpleType>
        <xsd:restriction base="dms:Note">
          <xsd:maxLength value="255"/>
        </xsd:restriction>
      </xsd:simpleType>
    </xsd:element>
    <xsd:element name="Approver" ma:index="11" nillable="true" ma:displayName="Approver" ma:internalName="Approver">
      <xsd:simpleType>
        <xsd:restriction base="dms:Text">
          <xsd:maxLength value="255"/>
        </xsd:restriction>
      </xsd:simpleType>
    </xsd:element>
    <xsd:element name="CategoryAvailable" ma:index="12" nillable="true" ma:displayName="CategoryAvailable" ma:indexed="true" ma:internalName="CategoryAvailable">
      <xsd:simpleType>
        <xsd:restriction base="dms:Text">
          <xsd:maxLength value="255"/>
        </xsd:restriction>
      </xsd:simpleType>
    </xsd:element>
    <xsd:element name="ContentDescription" ma:index="13" nillable="true" ma:displayName="ContentDescription" ma:internalName="ContentDescription">
      <xsd:simpleType>
        <xsd:restriction base="dms:Note"/>
      </xsd:simpleType>
    </xsd:element>
    <xsd:element name="ContributedBy" ma:index="14" nillable="true" ma:displayName="ContributedBy" ma:indexed="true" ma:internalName="ContributedBy">
      <xsd:simpleType>
        <xsd:restriction base="dms:Text">
          <xsd:maxLength value="255"/>
        </xsd:restriction>
      </xsd:simpleType>
    </xsd:element>
    <xsd:element name="CopyRights" ma:index="15" nillable="true" ma:displayName="CopyRights" ma:internalName="CopyRights">
      <xsd:simpleType>
        <xsd:restriction base="dms:Text">
          <xsd:maxLength value="255"/>
        </xsd:restriction>
      </xsd:simpleType>
    </xsd:element>
    <xsd:element name="Coverages" ma:index="16" nillable="true" ma:displayName="Coverages" ma:internalName="Coverages">
      <xsd:simpleType>
        <xsd:restriction base="dms:Text">
          <xsd:maxLength value="255"/>
        </xsd:restriction>
      </xsd:simpleType>
    </xsd:element>
    <xsd:element name="CreatedBy" ma:index="17" nillable="true" ma:displayName="CreatedBy" ma:internalName="CreatedBy">
      <xsd:simpleType>
        <xsd:restriction base="dms:Text">
          <xsd:maxLength value="255"/>
        </xsd:restriction>
      </xsd:simpleType>
    </xsd:element>
    <xsd:element name="DocumentType" ma:index="18" nillable="true" ma:displayName="DocumentType" ma:indexed="true" ma:internalName="DocumentType">
      <xsd:simpleType>
        <xsd:restriction base="dms:Text">
          <xsd:maxLength value="255"/>
        </xsd:restriction>
      </xsd:simpleType>
    </xsd:element>
    <xsd:element name="Level1" ma:index="19" nillable="true" ma:displayName="Level1" ma:internalName="Level1">
      <xsd:simpleType>
        <xsd:restriction base="dms:Text">
          <xsd:maxLength value="255"/>
        </xsd:restriction>
      </xsd:simpleType>
    </xsd:element>
    <xsd:element name="Level2" ma:index="20" nillable="true" ma:displayName="Level2" ma:internalName="Level2">
      <xsd:simpleType>
        <xsd:restriction base="dms:Text">
          <xsd:maxLength value="255"/>
        </xsd:restriction>
      </xsd:simpleType>
    </xsd:element>
    <xsd:element name="Level3" ma:index="21" nillable="true" ma:displayName="Level3" ma:internalName="Level3">
      <xsd:simpleType>
        <xsd:restriction base="dms:Text">
          <xsd:maxLength value="255"/>
        </xsd:restriction>
      </xsd:simpleType>
    </xsd:element>
    <xsd:element name="LinkGenerated" ma:index="22" nillable="true" ma:displayName="LinkGenerated" ma:indexed="true" ma:internalName="LinkGenerated">
      <xsd:simpleType>
        <xsd:restriction base="dms:Text">
          <xsd:maxLength value="255"/>
        </xsd:restriction>
      </xsd:simpleType>
    </xsd:element>
    <xsd:element name="Price" ma:index="23" nillable="true" ma:displayName="Price" ma:internalName="Price">
      <xsd:simpleType>
        <xsd:restriction base="dms:Text">
          <xsd:maxLength value="255"/>
        </xsd:restriction>
      </xsd:simpleType>
    </xsd:element>
    <xsd:element name="PublishedBy" ma:index="24" nillable="true" ma:displayName="PublishedBy" ma:internalName="PublishedBy">
      <xsd:simpleType>
        <xsd:restriction base="dms:Text">
          <xsd:maxLength value="255"/>
        </xsd:restriction>
      </xsd:simpleType>
    </xsd:element>
    <xsd:element name="PublishingDate" ma:index="25" nillable="true" ma:displayName="PublishingDate" ma:format="DateOnly" ma:indexed="true" ma:internalName="PublishingDate">
      <xsd:simpleType>
        <xsd:restriction base="dms:DateTime"/>
      </xsd:simpleType>
    </xsd:element>
    <xsd:element name="ReasonsForRejection" ma:index="26" nillable="true" ma:displayName="ReasonsForRejection" ma:internalName="ReasonsForRejection">
      <xsd:simpleType>
        <xsd:restriction base="dms:Note">
          <xsd:maxLength value="255"/>
        </xsd:restriction>
      </xsd:simpleType>
    </xsd:element>
    <xsd:element name="RefineBy" ma:index="27" nillable="true" ma:displayName="RefineBy" ma:internalName="RefineBy">
      <xsd:simpleType>
        <xsd:restriction base="dms:Text">
          <xsd:maxLength value="255"/>
        </xsd:restriction>
      </xsd:simpleType>
    </xsd:element>
    <xsd:element name="RequestNumber" ma:index="28" nillable="true" ma:displayName="RequestNumber" ma:indexed="true" ma:internalName="RequestNumber">
      <xsd:simpleType>
        <xsd:restriction base="dms:Number"/>
      </xsd:simpleType>
    </xsd:element>
    <xsd:element name="SearchKeywords" ma:index="29" nillable="true" ma:displayName="SearchKeywords" ma:indexed="true" ma:internalName="SearchKeywords">
      <xsd:simpleType>
        <xsd:restriction base="dms:Text">
          <xsd:maxLength value="255"/>
        </xsd:restriction>
      </xsd:simpleType>
    </xsd:element>
    <xsd:element name="Sources" ma:index="30" nillable="true" ma:displayName="Sources" ma:indexed="true" ma:internalName="Sources">
      <xsd:simpleType>
        <xsd:restriction base="dms:Text">
          <xsd:maxLength value="255"/>
        </xsd:restriction>
      </xsd:simpleType>
    </xsd:element>
    <xsd:element name="Subjects" ma:index="31" nillable="true" ma:displayName="Subjects" ma:indexed="true" ma:internalName="Subjects">
      <xsd:simpleType>
        <xsd:restriction base="dms:Text">
          <xsd:maxLength value="255"/>
        </xsd:restriction>
      </xsd:simpleType>
    </xsd:element>
    <xsd:element name="SubTopic" ma:index="32" nillable="true" ma:displayName="SubTopic" ma:indexed="true" ma:internalName="SubTopic">
      <xsd:simpleType>
        <xsd:restriction base="dms:Text">
          <xsd:maxLength value="255"/>
        </xsd:restriction>
      </xsd:simpleType>
    </xsd:element>
    <xsd:element name="Topic" ma:index="33" nillable="true" ma:displayName="Topic" ma:indexed="true" ma:internalName="Topic">
      <xsd:simpleType>
        <xsd:restriction base="dms:Text">
          <xsd:maxLength value="255"/>
        </xsd:restriction>
      </xsd:simpleType>
    </xsd:element>
    <xsd:element name="ContributedTrimmed" ma:index="41" nillable="true" ma:displayName="ContributedTrimmed" ma:internalName="ContributedTrimmed">
      <xsd:simpleType>
        <xsd:restriction base="dms:Text">
          <xsd:maxLength value="255"/>
        </xsd:restriction>
      </xsd:simpleType>
    </xsd:element>
    <xsd:element name="CLActivityCode" ma:index="42" nillable="true" ma:displayName="CLActivityCode" ma:indexed="true" ma:internalName="CLActivityCode">
      <xsd:simpleType>
        <xsd:restriction base="dms:Text">
          <xsd:maxLength value="255"/>
        </xsd:restriction>
      </xsd:simpleType>
    </xsd:element>
    <xsd:element name="RefineResultsByType" ma:index="43" nillable="true" ma:displayName="RefineResultsByType" ma:internalName="RefineResultsByType">
      <xsd:simpleType>
        <xsd:restriction base="dms:Text">
          <xsd:maxLength value="255"/>
        </xsd:restriction>
      </xsd:simpleType>
    </xsd:element>
    <xsd:element name="SharedWithUsers" ma:index="4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8d95f-84fb-48d4-bf6f-b4299b4464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6" nillable="true" ma:displayName="Tags" ma:internalName="MediaServiceAutoTags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ctive" ma:index="48" nillable="true" ma:displayName="Active" ma:indexed="true" ma:internalName="Active">
      <xsd:simpleType>
        <xsd:restriction base="dms:Text">
          <xsd:maxLength value="255"/>
        </xsd:restriction>
      </xsd:simpleType>
    </xsd:element>
    <xsd:element name="MediaLengthInSeconds" ma:index="4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1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3" nillable="true" ma:displayName="MediaServiceObjectDetectorVersions" ma:hidden="true" ma:internalName="MediaServiceObjectDetectorVersions" ma:readOnly="true">
      <xsd:simpleType>
        <xsd:restriction base="dms:Text"/>
      </xsd:simpleType>
    </xsd:element>
    <xsd:element name="MediaServiceSearchProperties" ma:index="5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Type0" ma:index="55" nillable="true" ma:displayName="ContentType" ma:format="Dropdown" ma:internalName="ContentType0">
      <xsd:simpleType>
        <xsd:restriction base="dms:Text">
          <xsd:maxLength value="255"/>
        </xsd:restriction>
      </xsd:simpleType>
    </xsd:element>
    <xsd:element name="MediaServiceBillingMetadata" ma:index="5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5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52" nillable="true" ma:displayName="Taxonomy Catch All Column" ma:hidden="true" ma:list="{27c7a326-500a-4e22-b6c6-c8d15db88582}" ma:internalName="TaxCatchAll" ma:showField="CatchAllData" ma:web="5b600fcd-180b-45fe-b7a7-8a18c016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3F4F7-07FE-4299-AA38-17EF91E4465A}"/>
</file>

<file path=customXml/itemProps2.xml><?xml version="1.0" encoding="utf-8"?>
<ds:datastoreItem xmlns:ds="http://schemas.openxmlformats.org/officeDocument/2006/customXml" ds:itemID="{8184E11F-3171-4436-A301-287D80B4A4FF}"/>
</file>

<file path=customXml/itemProps3.xml><?xml version="1.0" encoding="utf-8"?>
<ds:datastoreItem xmlns:ds="http://schemas.openxmlformats.org/officeDocument/2006/customXml" ds:itemID="{D7C5D1D2-7FC4-4526-920E-10F00453F3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MLCV-2020-451</dc:title>
  <dc:subject/>
  <dc:creator>Windows User</dc:creator>
  <cp:keywords/>
  <dc:description/>
  <cp:lastModifiedBy>S, Saravanan (Contractor)</cp:lastModifiedBy>
  <cp:revision/>
  <dcterms:created xsi:type="dcterms:W3CDTF">2020-06-03T15:25:54Z</dcterms:created>
  <dcterms:modified xsi:type="dcterms:W3CDTF">2026-04-16T03:50:12Z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0x0101006A72EEA328929949B8EE9B87C42F2262</vt:lpwstr>
  </property>
  <property fmtid="{D5CDD505-2E9C-101B-9397-08002B2CF9AE}" pid="3" name="MediaServiceImageTags">
    <vt:lpwstr/>
  </property>
  <property fmtid="{D5CDD505-2E9C-101B-9397-08002B2CF9AE}" pid="4" name="WorkbookGuid">
    <vt:lpwstr>1d939fe9-a247-402f-a099-c13603a92a2e</vt:lpwstr>
  </property>
</Properties>
</file>